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 Library" sheetId="1" state="visible" r:id="rId1"/>
    <sheet xmlns:r="http://schemas.openxmlformats.org/officeDocument/2006/relationships" name="Vatra de Agave" sheetId="2" state="visible" r:id="rId2"/>
    <sheet xmlns:r="http://schemas.openxmlformats.org/officeDocument/2006/relationships" name="Menu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F2A33"/>
      <sz val="16"/>
    </font>
    <font>
      <i val="1"/>
      <color rgb="005A6672"/>
      <sz val="10"/>
    </font>
    <font>
      <b val="1"/>
    </font>
    <font>
      <i val="1"/>
      <color rgb="005A6672"/>
      <sz val="9"/>
    </font>
    <font>
      <b val="1"/>
      <color rgb="00FFFFFF"/>
      <sz val="11"/>
    </font>
    <font>
      <i val="1"/>
    </font>
    <font>
      <b val="1"/>
      <color rgb="001F2A33"/>
      <sz val="12"/>
    </font>
    <font>
      <b val="1"/>
      <color rgb="001F2A33"/>
      <sz val="11"/>
    </font>
  </fonts>
  <fills count="7">
    <fill>
      <patternFill/>
    </fill>
    <fill>
      <patternFill patternType="gray125"/>
    </fill>
    <fill>
      <patternFill patternType="solid">
        <fgColor rgb="00E4EFE2"/>
      </patternFill>
    </fill>
    <fill>
      <patternFill patternType="solid">
        <fgColor rgb="001F2A33"/>
      </patternFill>
    </fill>
    <fill>
      <patternFill patternType="solid">
        <fgColor rgb="00FFF6D6"/>
      </patternFill>
    </fill>
    <fill>
      <patternFill patternType="solid">
        <fgColor rgb="00F2F4F6"/>
      </patternFill>
    </fill>
    <fill>
      <patternFill patternType="solid">
        <fgColor rgb="00C9A35B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2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7" fillId="0" borderId="0" pivotButton="0" quotePrefix="0" xfId="0"/>
    <xf numFmtId="165" fontId="0" fillId="2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4" fontId="8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2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recipe-architect</author>
  </authors>
  <commentList>
    <comment ref="B3" authorId="0" shapeId="0">
      <text>
        <t>Type the currency code you work in (e.g. RON, EUR, USD). All amounts in this workbook are in THIS currency.</t>
      </text>
    </comment>
    <comment ref="D7" authorId="0" shapeId="0">
      <text>
        <t>Estimated — verify against invoice</t>
      </text>
    </comment>
    <comment ref="D8" authorId="0" shapeId="0">
      <text>
        <t>Estimated — verify against invoice</t>
      </text>
    </comment>
    <comment ref="D9" authorId="0" shapeId="0">
      <text>
        <t>Estimated — verify against invoice</t>
      </text>
    </comment>
    <comment ref="D11" authorId="0" shapeId="0">
      <text>
        <t>Estimated — verify against invoice</t>
      </text>
    </comment>
    <comment ref="D12" authorId="0" shapeId="0">
      <text>
        <t>Estimated — verify against invoice</t>
      </text>
    </comment>
  </commentList>
</comments>
</file>

<file path=xl/comments/comment2.xml><?xml version="1.0" encoding="utf-8"?>
<comments xmlns="http://schemas.openxmlformats.org/spreadsheetml/2006/main">
  <authors>
    <author>recipe-architect</author>
  </authors>
  <commentList>
    <comment ref="D14" authorId="0" shapeId="0">
      <text>
        <t>Homemade cost/ml pulls from the Ingredient Library (batch cost / batch yield).</t>
      </text>
    </comment>
    <comment ref="B18" authorId="0" shapeId="0">
      <text>
        <t>Hidden buffer for spillage/waste. Edit to taste.</t>
      </text>
    </comment>
    <comment ref="B21" authorId="0" shapeId="0">
      <text>
        <t>Your target cost-of-goods as a % of selling price.</t>
      </text>
    </comment>
    <comment ref="B23" authorId="0" shapeId="0">
      <text>
        <t>Type the price you will actually charge (leave blank to use the suggested price). Drives pour cost %, cash GP and GP %.</t>
      </text>
    </comment>
  </commentList>
</comments>
</file>

<file path=xl/comments/comment3.xml><?xml version="1.0" encoding="utf-8"?>
<comments xmlns="http://schemas.openxmlformats.org/spreadsheetml/2006/main">
  <authors>
    <author>recipe-architect</author>
  </authors>
  <commentList>
    <comment ref="B3" authorId="0" shapeId="0">
      <text>
        <t>Set in the Ingredient Library. All amounts are in this currency.</t>
      </text>
    </comment>
    <comment ref="H7" authorId="0" shapeId="0">
      <text>
        <t>Menu engineering class = CASH GROSS PROFIT x POPULARITY. Add your sales/popularity, then classify: high GP + high popularity = Star; low GP + high popularity = Plowhorse; high GP + low popularity = Puzzle; low GP + low popularity = Dog.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8" customWidth="1" min="4" max="4"/>
    <col width="18" customWidth="1" min="5" max="5"/>
    <col width="12" customWidth="1" min="6" max="6"/>
    <col width="44" customWidth="1" min="7" max="7"/>
  </cols>
  <sheetData>
    <row r="1">
      <c r="A1" s="1" t="inlineStr">
        <is>
          <t>Ingredient Library</t>
        </is>
      </c>
    </row>
    <row r="2">
      <c r="A2" s="2" t="inlineStr">
        <is>
          <t>Mezcaleria Lupa, Cluj-Napoca · Romania   |   As of 2026-06-04   |   The ONLY place you type costs. Edit a container cost and every recipe + the Menu Summary update automatically.</t>
        </is>
      </c>
    </row>
    <row r="3">
      <c r="A3" s="3" t="inlineStr">
        <is>
          <t>Currency:</t>
        </is>
      </c>
      <c r="B3" s="4" t="inlineStr">
        <is>
          <t>RON</t>
        </is>
      </c>
    </row>
    <row r="4">
      <c r="A4" s="5" t="inlineStr">
        <is>
          <t>All amounts ex-VAT / wholesale, in the currency above.</t>
        </is>
      </c>
    </row>
    <row r="6">
      <c r="A6" s="6" t="inlineStr">
        <is>
          <t>Ingredient</t>
        </is>
      </c>
      <c r="B6" s="6" t="inlineStr">
        <is>
          <t>Container size</t>
        </is>
      </c>
      <c r="C6" s="6" t="inlineStr">
        <is>
          <t>Unit</t>
        </is>
      </c>
      <c r="D6" s="6" t="inlineStr">
        <is>
          <t>Container cost</t>
        </is>
      </c>
      <c r="E6" s="6" t="inlineStr">
        <is>
          <t>Cost per unit</t>
        </is>
      </c>
      <c r="F6" s="6" t="inlineStr">
        <is>
          <t>Estimated?</t>
        </is>
      </c>
      <c r="G6" s="6" t="inlineStr">
        <is>
          <t>Note</t>
        </is>
      </c>
    </row>
    <row r="7">
      <c r="A7" s="7" t="inlineStr">
        <is>
          <t>Don Julio Blanco</t>
        </is>
      </c>
      <c r="B7" s="8" t="n">
        <v>700</v>
      </c>
      <c r="C7" s="9" t="inlineStr">
        <is>
          <t>ml</t>
        </is>
      </c>
      <c r="D7" s="10" t="n">
        <v>230</v>
      </c>
      <c r="E7" s="11">
        <f>IF(N(B7)=0,0,D7/B7)</f>
        <v/>
      </c>
      <c r="F7" s="9" t="inlineStr">
        <is>
          <t>Yes</t>
        </is>
      </c>
      <c r="G7" s="12" t="inlineStr"/>
    </row>
    <row r="8">
      <c r="A8" s="7" t="inlineStr">
        <is>
          <t>Suc de grapefruit roz</t>
        </is>
      </c>
      <c r="B8" s="8" t="n">
        <v>1000</v>
      </c>
      <c r="C8" s="9" t="inlineStr">
        <is>
          <t>ml</t>
        </is>
      </c>
      <c r="D8" s="10" t="n">
        <v>14</v>
      </c>
      <c r="E8" s="11">
        <f>IF(N(B8)=0,0,D8/B8)</f>
        <v/>
      </c>
      <c r="F8" s="9" t="inlineStr">
        <is>
          <t>Yes</t>
        </is>
      </c>
      <c r="G8" s="12" t="inlineStr"/>
    </row>
    <row r="9">
      <c r="A9" s="7" t="inlineStr">
        <is>
          <t>Suc de lime</t>
        </is>
      </c>
      <c r="B9" s="8" t="n">
        <v>1000</v>
      </c>
      <c r="C9" s="9" t="inlineStr">
        <is>
          <t>ml</t>
        </is>
      </c>
      <c r="D9" s="10" t="n">
        <v>28</v>
      </c>
      <c r="E9" s="11">
        <f>IF(N(B9)=0,0,D9/B9)</f>
        <v/>
      </c>
      <c r="F9" s="9" t="inlineStr">
        <is>
          <t>Yes</t>
        </is>
      </c>
      <c r="G9" s="12" t="inlineStr"/>
    </row>
    <row r="10">
      <c r="A10" s="13" t="inlineStr">
        <is>
          <t>Sirop de agave afumat</t>
        </is>
      </c>
      <c r="B10" s="14" t="n">
        <v>500</v>
      </c>
      <c r="C10" s="15" t="inlineStr">
        <is>
          <t>ml</t>
        </is>
      </c>
      <c r="D10" s="16" t="n">
        <v>18</v>
      </c>
      <c r="E10" s="17">
        <f>IF(N(B10)=0,0,D10/B10)</f>
        <v/>
      </c>
      <c r="F10" s="15" t="inlineStr">
        <is>
          <t>No</t>
        </is>
      </c>
      <c r="G10" s="18" t="inlineStr"/>
    </row>
    <row r="11">
      <c r="A11" s="7" t="inlineStr">
        <is>
          <t>Cointreau (non-Diageo)</t>
        </is>
      </c>
      <c r="B11" s="8" t="n">
        <v>700</v>
      </c>
      <c r="C11" s="9" t="inlineStr">
        <is>
          <t>ml</t>
        </is>
      </c>
      <c r="D11" s="10" t="n">
        <v>130</v>
      </c>
      <c r="E11" s="11">
        <f>IF(N(B11)=0,0,D11/B11)</f>
        <v/>
      </c>
      <c r="F11" s="9" t="inlineStr">
        <is>
          <t>Yes</t>
        </is>
      </c>
      <c r="G11" s="12" t="inlineStr"/>
    </row>
    <row r="12">
      <c r="A12" s="7" t="inlineStr">
        <is>
          <t>Absint</t>
        </is>
      </c>
      <c r="B12" s="8" t="n">
        <v>700</v>
      </c>
      <c r="C12" s="9" t="inlineStr">
        <is>
          <t>ml</t>
        </is>
      </c>
      <c r="D12" s="10" t="n">
        <v>180</v>
      </c>
      <c r="E12" s="11">
        <f>IF(N(B12)=0,0,D12/B12)</f>
        <v/>
      </c>
      <c r="F12" s="9" t="inlineStr">
        <is>
          <t>Yes</t>
        </is>
      </c>
      <c r="G12" s="12" t="inlineStr"/>
    </row>
    <row r="13">
      <c r="A13" s="19" t="inlineStr">
        <is>
          <t>Roată grapefruit deshidratată</t>
        </is>
      </c>
      <c r="B13" s="20" t="n">
        <v>1</v>
      </c>
      <c r="C13" s="21" t="inlineStr">
        <is>
          <t>each</t>
        </is>
      </c>
      <c r="D13" s="16" t="n">
        <v>1.5</v>
      </c>
      <c r="E13" s="22">
        <f>IF(N(B13)=0,0,D13/B13)</f>
        <v/>
      </c>
      <c r="F13" s="21" t="inlineStr">
        <is>
          <t>No</t>
        </is>
      </c>
      <c r="G13" s="23" t="inlineStr"/>
    </row>
    <row r="14">
      <c r="A14" s="24" t="inlineStr">
        <is>
          <t>Ramă sare-chili</t>
        </is>
      </c>
      <c r="B14" s="14" t="n">
        <v>1</v>
      </c>
      <c r="C14" s="15" t="inlineStr">
        <is>
          <t>each</t>
        </is>
      </c>
      <c r="D14" s="16" t="n">
        <v>0.5</v>
      </c>
      <c r="E14" s="17">
        <f>IF(N(B14)=0,0,D14/B14)</f>
        <v/>
      </c>
      <c r="F14" s="15" t="inlineStr">
        <is>
          <t>No</t>
        </is>
      </c>
      <c r="G14" s="18" t="inlineStr"/>
    </row>
    <row r="15">
      <c r="A15" s="19" t="inlineStr">
        <is>
          <t>Sirop de agave afumat (homemade)</t>
        </is>
      </c>
      <c r="B15" s="20" t="n">
        <v>500</v>
      </c>
      <c r="C15" s="21" t="inlineStr">
        <is>
          <t>ml</t>
        </is>
      </c>
      <c r="D15" s="16" t="n">
        <v>18</v>
      </c>
      <c r="E15" s="22">
        <f>IF(N(B15)=0,0,D15/B15)</f>
        <v/>
      </c>
      <c r="F15" s="21" t="inlineStr">
        <is>
          <t>No</t>
        </is>
      </c>
      <c r="G15" s="23" t="inlineStr">
        <is>
          <t>Homemade batch — cost per ml = batch cost / batch yield.</t>
        </is>
      </c>
    </row>
  </sheetData>
  <dataValidations count="1">
    <dataValidation sqref="B3" showDropDown="0" showInputMessage="0" showErrorMessage="0" allowBlank="1" promptTitle="Currency" prompt="Pick the currency you work in (or type your own code)." type="list">
      <formula1>"RON,EUR,USD,GBP,CHF,PLN,HUF,CZK,BGN,RSD,MKD,ALL,TRY,UAH,MDL,AED,SAR,QAR,GEL"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0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Vatra de Agave</t>
        </is>
      </c>
    </row>
    <row r="2">
      <c r="A2" s="2" t="inlineStr">
        <is>
          <t>Hero: Don Julio Blanco   |   Mezcaleria Lupa, Cluj-Napoca · Romania   |   As of 2026-06-04</t>
        </is>
      </c>
    </row>
    <row r="3">
      <c r="A3" s="5" t="inlineStr">
        <is>
          <t>Costs pull live from the Ingredient Library — do not type costs here.</t>
        </is>
      </c>
    </row>
    <row r="5">
      <c r="A5" s="6" t="inlineStr">
        <is>
          <t>Ingredient</t>
        </is>
      </c>
      <c r="B5" s="6" t="inlineStr">
        <is>
          <t>Qty</t>
        </is>
      </c>
      <c r="C5" s="6" t="inlineStr">
        <is>
          <t>Unit</t>
        </is>
      </c>
      <c r="D5" s="6" t="inlineStr">
        <is>
          <t>Cost / unit</t>
        </is>
      </c>
      <c r="E5" s="6" t="inlineStr">
        <is>
          <t>Line cost</t>
        </is>
      </c>
      <c r="F5" s="6" t="inlineStr">
        <is>
          <t>% of cost</t>
        </is>
      </c>
    </row>
    <row r="6">
      <c r="A6" s="25" t="inlineStr">
        <is>
          <t>Don Julio Blanco</t>
        </is>
      </c>
      <c r="B6" s="21" t="n">
        <v>40</v>
      </c>
      <c r="C6" s="21" t="inlineStr">
        <is>
          <t>ml</t>
        </is>
      </c>
      <c r="D6" s="22">
        <f>'Ingredient Library'!$E$7</f>
        <v/>
      </c>
      <c r="E6" s="26">
        <f>N(B6)*1*D6</f>
        <v/>
      </c>
      <c r="F6" s="27">
        <f>IF(B17=0,0,E6/B17)</f>
        <v/>
      </c>
    </row>
    <row r="7">
      <c r="A7" s="13" t="inlineStr">
        <is>
          <t>Suc de grapefruit roz</t>
        </is>
      </c>
      <c r="B7" s="15" t="n">
        <v>25</v>
      </c>
      <c r="C7" s="15" t="inlineStr">
        <is>
          <t>ml</t>
        </is>
      </c>
      <c r="D7" s="17">
        <f>'Ingredient Library'!$E$8</f>
        <v/>
      </c>
      <c r="E7" s="28">
        <f>N(B7)*1*D7</f>
        <v/>
      </c>
      <c r="F7" s="29">
        <f>IF(B17=0,0,E7/B17)</f>
        <v/>
      </c>
    </row>
    <row r="8">
      <c r="A8" s="25" t="inlineStr">
        <is>
          <t>Suc de lime</t>
        </is>
      </c>
      <c r="B8" s="21" t="n">
        <v>15</v>
      </c>
      <c r="C8" s="21" t="inlineStr">
        <is>
          <t>ml</t>
        </is>
      </c>
      <c r="D8" s="22">
        <f>'Ingredient Library'!$E$9</f>
        <v/>
      </c>
      <c r="E8" s="26">
        <f>N(B8)*1*D8</f>
        <v/>
      </c>
      <c r="F8" s="27">
        <f>IF(B17=0,0,E8/B17)</f>
        <v/>
      </c>
    </row>
    <row r="9">
      <c r="A9" s="13" t="inlineStr">
        <is>
          <t>Sirop de agave afumat</t>
        </is>
      </c>
      <c r="B9" s="15" t="n">
        <v>12.5</v>
      </c>
      <c r="C9" s="15" t="inlineStr">
        <is>
          <t>ml</t>
        </is>
      </c>
      <c r="D9" s="17">
        <f>'Ingredient Library'!$E$10</f>
        <v/>
      </c>
      <c r="E9" s="28">
        <f>N(B9)*1*D9</f>
        <v/>
      </c>
      <c r="F9" s="29">
        <f>IF(B17=0,0,E9/B17)</f>
        <v/>
      </c>
    </row>
    <row r="10">
      <c r="A10" s="25" t="inlineStr">
        <is>
          <t>Cointreau (non-Diageo)</t>
        </is>
      </c>
      <c r="B10" s="21" t="n">
        <v>5</v>
      </c>
      <c r="C10" s="21" t="inlineStr">
        <is>
          <t>ml</t>
        </is>
      </c>
      <c r="D10" s="22">
        <f>'Ingredient Library'!$E$11</f>
        <v/>
      </c>
      <c r="E10" s="26">
        <f>N(B10)*1*D10</f>
        <v/>
      </c>
      <c r="F10" s="27">
        <f>IF(B17=0,0,E10/B17)</f>
        <v/>
      </c>
    </row>
    <row r="11">
      <c r="A11" s="13" t="inlineStr">
        <is>
          <t>Absint</t>
        </is>
      </c>
      <c r="B11" s="15" t="n">
        <v>2</v>
      </c>
      <c r="C11" s="15" t="inlineStr">
        <is>
          <t>dash</t>
        </is>
      </c>
      <c r="D11" s="17">
        <f>'Ingredient Library'!$E$12</f>
        <v/>
      </c>
      <c r="E11" s="28">
        <f>N(B11)*0.9*D11</f>
        <v/>
      </c>
      <c r="F11" s="29">
        <f>IF(B17=0,0,E11/B17)</f>
        <v/>
      </c>
    </row>
    <row r="12">
      <c r="A12" s="19" t="inlineStr">
        <is>
          <t>Roată grapefruit deshidratată</t>
        </is>
      </c>
      <c r="B12" s="21" t="n">
        <v>1</v>
      </c>
      <c r="C12" s="21" t="inlineStr">
        <is>
          <t>each</t>
        </is>
      </c>
      <c r="D12" s="22">
        <f>'Ingredient Library'!$E$13</f>
        <v/>
      </c>
      <c r="E12" s="26">
        <f>N(B12)*1*D12</f>
        <v/>
      </c>
      <c r="F12" s="27">
        <f>IF(B17=0,0,E12/B17)</f>
        <v/>
      </c>
    </row>
    <row r="13">
      <c r="A13" s="24" t="inlineStr">
        <is>
          <t>Ramă sare-chili</t>
        </is>
      </c>
      <c r="B13" s="15" t="n">
        <v>1</v>
      </c>
      <c r="C13" s="15" t="inlineStr">
        <is>
          <t>each</t>
        </is>
      </c>
      <c r="D13" s="17">
        <f>'Ingredient Library'!$E$14</f>
        <v/>
      </c>
      <c r="E13" s="28">
        <f>N(B13)*1*D13</f>
        <v/>
      </c>
      <c r="F13" s="29">
        <f>IF(B17=0,0,E13/B17)</f>
        <v/>
      </c>
    </row>
    <row r="14">
      <c r="A14" s="19" t="inlineStr">
        <is>
          <t>Sirop de agave afumat (homemade)</t>
        </is>
      </c>
      <c r="B14" s="21" t="n"/>
      <c r="C14" s="21" t="inlineStr">
        <is>
          <t>ml</t>
        </is>
      </c>
      <c r="D14" s="22">
        <f>'Ingredient Library'!$E$15</f>
        <v/>
      </c>
      <c r="E14" s="26">
        <f>N(B14)*1*D14</f>
        <v/>
      </c>
      <c r="F14" s="27">
        <f>IF(B17=0,0,E14/B17)</f>
        <v/>
      </c>
    </row>
    <row r="16">
      <c r="A16" s="30" t="inlineStr">
        <is>
          <t>COST &amp; PRICING</t>
        </is>
      </c>
    </row>
    <row r="17">
      <c r="A17" s="25" t="inlineStr">
        <is>
          <t>Subtotal (ingredient cost)</t>
        </is>
      </c>
      <c r="B17" s="26">
        <f>SUM(E6:E14)</f>
        <v/>
      </c>
    </row>
    <row r="18">
      <c r="A18" s="25" t="inlineStr">
        <is>
          <t>Buffer % (spillage/waste)</t>
        </is>
      </c>
      <c r="B18" s="31" t="n">
        <v>0.1</v>
      </c>
    </row>
    <row r="19">
      <c r="A19" s="25" t="inlineStr">
        <is>
          <t>Buffer amount</t>
        </is>
      </c>
      <c r="B19" s="26">
        <f>B17*B18</f>
        <v/>
      </c>
    </row>
    <row r="20">
      <c r="A20" s="32" t="inlineStr">
        <is>
          <t>TOTAL recipe cost</t>
        </is>
      </c>
      <c r="B20" s="33">
        <f>B17+B19</f>
        <v/>
      </c>
    </row>
    <row r="21">
      <c r="A21" s="25" t="inlineStr">
        <is>
          <t>Target pour cost %</t>
        </is>
      </c>
      <c r="B21" s="31" t="n">
        <v>0.22</v>
      </c>
    </row>
    <row r="22">
      <c r="A22" s="32" t="inlineStr">
        <is>
          <t>Suggested price</t>
        </is>
      </c>
      <c r="B22" s="33">
        <f>IF(B21=0,0,B20/B21)</f>
        <v/>
      </c>
    </row>
    <row r="23">
      <c r="A23" s="34" t="inlineStr">
        <is>
          <t>Rounded menu price</t>
        </is>
      </c>
      <c r="B23" s="35" t="n"/>
    </row>
    <row r="24">
      <c r="A24" s="34" t="inlineStr">
        <is>
          <t>Actual pour cost %</t>
        </is>
      </c>
      <c r="B24" s="36">
        <f>IF((IF(N(B23)=0,B22,B23))=0,0,B20/(IF(N(B23)=0,B22,B23)))</f>
        <v/>
      </c>
    </row>
    <row r="25">
      <c r="A25" s="34" t="inlineStr">
        <is>
          <t>Cash gross profit</t>
        </is>
      </c>
      <c r="B25" s="37">
        <f>(IF(N(B23)=0,B22,B23))-B20</f>
        <v/>
      </c>
    </row>
    <row r="26">
      <c r="A26" s="34" t="inlineStr">
        <is>
          <t>Gross profit %</t>
        </is>
      </c>
      <c r="B26" s="36">
        <f>1-B24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6" customWidth="1" min="4" max="4"/>
    <col width="15" customWidth="1" min="5" max="5"/>
    <col width="16" customWidth="1" min="6" max="6"/>
    <col width="15" customWidth="1" min="7" max="7"/>
    <col width="16" customWidth="1" min="8" max="8"/>
  </cols>
  <sheetData>
    <row r="1">
      <c r="A1" s="1" t="inlineStr">
        <is>
          <t>Menu Summary</t>
        </is>
      </c>
    </row>
    <row r="2">
      <c r="A2" s="2" t="inlineStr">
        <is>
          <t>Mezcaleria Lupa, Cluj-Napoca · Romania   |   As of 2026-06-04   |   All figures pull live from each recipe sheet.</t>
        </is>
      </c>
    </row>
    <row r="3">
      <c r="A3" s="3" t="inlineStr">
        <is>
          <t>Currency:</t>
        </is>
      </c>
      <c r="B3" s="25">
        <f>'Ingredient Library'!$B$3</f>
        <v/>
      </c>
    </row>
    <row r="4">
      <c r="A4" s="5" t="inlineStr">
        <is>
          <t>All amounts ex-VAT / wholesale, in the currency above.</t>
        </is>
      </c>
    </row>
    <row r="6">
      <c r="A6" s="6" t="inlineStr">
        <is>
          <t>Recipe</t>
        </is>
      </c>
      <c r="B6" s="6" t="inlineStr">
        <is>
          <t>Total cost</t>
        </is>
      </c>
      <c r="C6" s="6" t="inlineStr">
        <is>
          <t>Suggested price</t>
        </is>
      </c>
      <c r="D6" s="6" t="inlineStr">
        <is>
          <t>Rounded price</t>
        </is>
      </c>
      <c r="E6" s="6" t="inlineStr">
        <is>
          <t>Pour cost %</t>
        </is>
      </c>
      <c r="F6" s="6" t="inlineStr">
        <is>
          <t>Cash GP</t>
        </is>
      </c>
      <c r="G6" s="6" t="inlineStr">
        <is>
          <t>GP %</t>
        </is>
      </c>
      <c r="H6" s="6" t="inlineStr">
        <is>
          <t>Menu class</t>
        </is>
      </c>
    </row>
    <row r="7">
      <c r="A7" s="25" t="inlineStr">
        <is>
          <t>Vatra de Agave</t>
        </is>
      </c>
      <c r="B7" s="26">
        <f>'Vatra de Agave'!B20</f>
        <v/>
      </c>
      <c r="C7" s="26">
        <f>'Vatra de Agave'!B22</f>
        <v/>
      </c>
      <c r="D7" s="26">
        <f>'Vatra de Agave'!B23</f>
        <v/>
      </c>
      <c r="E7" s="27">
        <f>'Vatra de Agave'!B24</f>
        <v/>
      </c>
      <c r="F7" s="26">
        <f>'Vatra de Agave'!B25</f>
        <v/>
      </c>
      <c r="G7" s="27">
        <f>'Vatra de Agave'!B26</f>
        <v/>
      </c>
      <c r="H7" s="25" t="inlineStr"/>
    </row>
    <row r="9">
      <c r="A9" s="30" t="inlineStr">
        <is>
          <t>Menu engineering — classify each item by Cash GP (value axis) x Popularity (sales axis):</t>
        </is>
      </c>
    </row>
    <row r="10">
      <c r="A10" s="5" t="inlineStr">
        <is>
          <t>Star      = high Cash GP + high popularity  (promote, protect).</t>
        </is>
      </c>
    </row>
    <row r="11">
      <c r="A11" s="5" t="inlineStr">
        <is>
          <t>Plowhorse = low Cash GP + high popularity   (re-engineer cost or price).</t>
        </is>
      </c>
    </row>
    <row r="12">
      <c r="A12" s="5" t="inlineStr">
        <is>
          <t>Puzzle    = high Cash GP + low popularity   (reposition / push).</t>
        </is>
      </c>
    </row>
    <row r="13">
      <c r="A13" s="5" t="inlineStr">
        <is>
          <t>Dog       = low Cash GP + low popularity    (consider cutting).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2026-06-05T12:02:52Z</dcterms:created>
  <dcterms:modified xmlns:dcterms="http://purl.org/dc/terms/" xmlns:xsi="http://www.w3.org/2001/XMLSchema-instance" xsi:type="dcterms:W3CDTF">2026-06-05T12:02:52Z</dcterms:modified>
</cp:coreProperties>
</file>